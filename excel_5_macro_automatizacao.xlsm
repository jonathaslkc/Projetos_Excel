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2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72160\Desktop\Jonathas\Alura\excel_vba\5\"/>
    </mc:Choice>
  </mc:AlternateContent>
  <xr:revisionPtr revIDLastSave="0" documentId="13_ncr:1_{443A919A-4817-4056-AFB7-DCDAF7CBD687}" xr6:coauthVersionLast="47" xr6:coauthVersionMax="47" xr10:uidLastSave="{00000000-0000-0000-0000-000000000000}"/>
  <bookViews>
    <workbookView xWindow="-120" yWindow="-120" windowWidth="20730" windowHeight="11160" tabRatio="782" activeTab="2" xr2:uid="{B673A230-CF2B-4926-840F-06DAC6DEF54A}"/>
  </bookViews>
  <sheets>
    <sheet name="Controle de Entregas" sheetId="3" r:id="rId1"/>
    <sheet name="Valor dos Contrato" sheetId="5" r:id="rId2"/>
    <sheet name="DASHBOARD" sheetId="6" r:id="rId3"/>
    <sheet name="Valor Por Veículo" sheetId="8" r:id="rId4"/>
    <sheet name="Base Filtrada" sheetId="7" r:id="rId5"/>
  </sheets>
  <definedNames>
    <definedName name="_xlnm._FilterDatabase" localSheetId="0" hidden="1">'Controle de Entregas'!$A$1:$M$29</definedName>
    <definedName name="_xlnm.Extract" localSheetId="4">'Base Filtrada'!$A$5:$M$5</definedName>
    <definedName name="_xlnm.Criteria" localSheetId="4">'Base Filtrada'!$A$1:$M$2</definedName>
    <definedName name="dadosTabelaDinamica">'Base Filtrada'!$A$5:$M$150</definedName>
    <definedName name="NativeTimeline_Data_Contrato">#N/A</definedName>
    <definedName name="SegmentaçãodeDados_Cliente">#N/A</definedName>
    <definedName name="SituacaoChegada">'Controle de Entregas'!$L$1:$L$29</definedName>
    <definedName name="situacaochegada2">'Controle de Entregas'!$M$2:$M$29</definedName>
    <definedName name="SituacaoPartida">'Controle de Entregas'!$J$1:$J$29</definedName>
    <definedName name="tabelaEntrega">'Controle de Entregas'!$A$1:$M$29</definedName>
  </definedNames>
  <calcPr calcId="191029"/>
  <pivotCaches>
    <pivotCache cacheId="0" r:id="rId6"/>
    <pivotCache cacheId="28" r:id="rId7"/>
    <pivotCache cacheId="4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E15" i="6" l="1"/>
  <c r="BE9" i="6"/>
  <c r="AL15" i="6"/>
  <c r="AL9" i="6"/>
  <c r="S15" i="6"/>
  <c r="S9" i="6"/>
  <c r="AB3" i="6"/>
  <c r="I9" i="6"/>
  <c r="AU9" i="6"/>
  <c r="AU3" i="6"/>
  <c r="AB9" i="6"/>
  <c r="I3" i="6"/>
  <c r="AL3" i="6"/>
  <c r="S3" i="6"/>
  <c r="BE3" i="6"/>
  <c r="AU15" i="6" l="1"/>
  <c r="AB15" i="6"/>
  <c r="I15" i="6"/>
</calcChain>
</file>

<file path=xl/sharedStrings.xml><?xml version="1.0" encoding="utf-8"?>
<sst xmlns="http://schemas.openxmlformats.org/spreadsheetml/2006/main" count="384" uniqueCount="57">
  <si>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</si>
  <si>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</si>
  <si>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</si>
  <si>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</si>
  <si>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</si>
  <si>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</si>
  <si>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</si>
  <si>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</si>
  <si>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</si>
  <si>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</si>
  <si>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</si>
  <si>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</si>
  <si>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</si>
  <si>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</si>
  <si>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</si>
  <si>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</si>
  <si>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</si>
  <si>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</si>
  <si>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</si>
  <si>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</si>
  <si>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</si>
  <si>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</si>
  <si>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</si>
  <si>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</si>
  <si>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</si>
  <si>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</si>
  <si>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</si>
  <si>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</si>
  <si>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</si>
  <si>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</si>
  <si>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</si>
  <si>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</si>
  <si>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</si>
  <si>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</si>
  <si>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</si>
  <si>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</si>
  <si>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</si>
  <si>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</si>
  <si>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</si>
  <si>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</si>
  <si>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</si>
  <si>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Total Geral</t>
  </si>
  <si>
    <t>Soma de Valor do Contrato</t>
  </si>
  <si>
    <t>Soma de Peso (Kg)</t>
  </si>
  <si>
    <t>Contagem de Destino</t>
  </si>
  <si>
    <t>Total Kg Transportado</t>
  </si>
  <si>
    <t>LOGÍSTICA DE ENTREGA POR PERÍODO</t>
  </si>
  <si>
    <t>Viagens</t>
  </si>
  <si>
    <t>Média de Peso</t>
  </si>
  <si>
    <t>Valor Total dos Contratos</t>
  </si>
  <si>
    <t>Partidas Atrasadas</t>
  </si>
  <si>
    <t>Viagens em Aberto</t>
  </si>
  <si>
    <t>PAINEL DE LOGÍSTICA</t>
  </si>
  <si>
    <t>PAINEL DE VEÍCULO</t>
  </si>
  <si>
    <t>PAINEL DE CARGA</t>
  </si>
  <si>
    <t>(vazio)</t>
  </si>
  <si>
    <t>aberto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</si>
</sst>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450666829432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44" fontId="3" fillId="0" borderId="13" xfId="1" applyFont="1" applyBorder="1" applyAlignment="1">
      <alignment horizontal="center" vertical="center"/>
    </xf>
    <xf numFmtId="44" fontId="3" fillId="0" borderId="14" xfId="1" applyFont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44" fontId="2" fillId="0" borderId="5" xfId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3" borderId="0" xfId="0" applyFill="1"/>
    <xf numFmtId="44" fontId="0" fillId="0" borderId="0" xfId="0" applyNumberFormat="1"/>
    <xf numFmtId="0" fontId="5" fillId="4" borderId="12" xfId="0" applyFont="1" applyFill="1" applyBorder="1" applyAlignment="1">
      <alignment horizontal="center" vertical="center" textRotation="90"/>
    </xf>
    <xf numFmtId="0" fontId="5" fillId="4" borderId="13" xfId="0" applyFont="1" applyFill="1" applyBorder="1" applyAlignment="1">
      <alignment horizontal="center" vertical="center" textRotation="90"/>
    </xf>
    <xf numFmtId="0" fontId="5" fillId="4" borderId="14" xfId="0" applyFont="1" applyFill="1" applyBorder="1" applyAlignment="1">
      <alignment horizontal="center" vertical="center" textRotation="90"/>
    </xf>
    <xf numFmtId="0" fontId="5" fillId="0" borderId="12" xfId="0" applyFont="1" applyFill="1" applyBorder="1" applyAlignment="1">
      <alignment horizontal="center" vertical="center" textRotation="90"/>
    </xf>
    <xf numFmtId="0" fontId="5" fillId="0" borderId="13" xfId="0" applyFont="1" applyFill="1" applyBorder="1" applyAlignment="1">
      <alignment horizontal="center" vertical="center" textRotation="90"/>
    </xf>
    <xf numFmtId="0" fontId="5" fillId="0" borderId="14" xfId="0" applyFont="1" applyFill="1" applyBorder="1" applyAlignment="1">
      <alignment horizontal="center" vertical="center" textRotation="90"/>
    </xf>
    <xf numFmtId="0" fontId="0" fillId="4" borderId="0" xfId="0" applyFill="1" applyBorder="1"/>
  </cellXfs>
  <cellStyles count="2">
    <cellStyle name="Moeda" xfId="1" builtinId="4"/>
    <cellStyle name="Normal" xfId="0" builtinId="0"/>
  </cellStyles>
  <dxfs count="2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[excel_5_macro_automatizacao.xlsm]Valor dos Contrato!Tabela dinâmica2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dos Contrato'!$C$12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539-4C33-900D-E60B3BDDE6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539-4C33-900D-E60B3BDDE6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539-4C33-900D-E60B3BDDE6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dos Contrato'!$B$13:$B$16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'Valor dos Contrato'!$C$13:$C$16</c:f>
              <c:numCache>
                <c:formatCode>General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11508.056453923184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679-4081-BA21-9D783B23B7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[excel_5_macro_automatizacao.xlsm]Valor dos Contrato!Tabela dinâmica3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 dos Contrato'!$F$12</c:f>
              <c:strCache>
                <c:ptCount val="1"/>
                <c:pt idx="0">
                  <c:v>Soma de Peso (Kg)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'Valor dos Contrato'!$E$13:$E$21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'Valor dos Contrato'!$F$13:$F$21</c:f>
              <c:numCache>
                <c:formatCode>General</c:formatCode>
                <c:ptCount val="8"/>
                <c:pt idx="0">
                  <c:v>182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9-4680-AC42-2686009D4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953440"/>
        <c:axId val="665956064"/>
      </c:barChart>
      <c:lineChart>
        <c:grouping val="standard"/>
        <c:varyColors val="0"/>
        <c:ser>
          <c:idx val="1"/>
          <c:order val="1"/>
          <c:tx>
            <c:strRef>
              <c:f>'Valor dos Contrato'!$G$12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'Valor dos Contrato'!$E$13:$E$21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'Valor dos Contrato'!$G$13:$G$21</c:f>
              <c:numCache>
                <c:formatCode>General</c:formatCode>
                <c:ptCount val="8"/>
                <c:pt idx="0">
                  <c:v>7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D9-4680-AC42-2686009D4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030416"/>
        <c:axId val="556031400"/>
      </c:lineChart>
      <c:catAx>
        <c:axId val="66595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6064"/>
        <c:crosses val="autoZero"/>
        <c:auto val="1"/>
        <c:lblAlgn val="ctr"/>
        <c:lblOffset val="100"/>
        <c:noMultiLvlLbl val="0"/>
      </c:catAx>
      <c:valAx>
        <c:axId val="6659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3440"/>
        <c:crosses val="autoZero"/>
        <c:crossBetween val="between"/>
      </c:valAx>
      <c:valAx>
        <c:axId val="5560314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6030416"/>
        <c:crosses val="max"/>
        <c:crossBetween val="between"/>
      </c:valAx>
      <c:catAx>
        <c:axId val="5560304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60314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[excel_5_macro_automatizacao.xlsm]Valor dos Contrato!Tabela dinâmica2</c:name>
    <c:fmtId val="5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dos Contrato'!$C$12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5C0-45E3-AC0F-8D4F3E6B84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C0-45E3-AC0F-8D4F3E6B84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C0-45E3-AC0F-8D4F3E6B84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dos Contrato'!$B$13:$B$16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'Valor dos Contrato'!$C$13:$C$16</c:f>
              <c:numCache>
                <c:formatCode>General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11508.056453923184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C0-45E3-AC0F-8D4F3E6B84C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[excel_5_macro_automatizacao.xlsm]Valor dos Contrato!Tabela dinâmica3</c:name>
    <c:fmtId val="28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 dos Contrato'!$F$12</c:f>
              <c:strCache>
                <c:ptCount val="1"/>
                <c:pt idx="0">
                  <c:v>Soma de Peso (Kg)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'Valor dos Contrato'!$E$13:$E$21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'Valor dos Contrato'!$F$13:$F$21</c:f>
              <c:numCache>
                <c:formatCode>General</c:formatCode>
                <c:ptCount val="8"/>
                <c:pt idx="0">
                  <c:v>182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C-4BDB-B720-180630918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953440"/>
        <c:axId val="665956064"/>
      </c:barChart>
      <c:lineChart>
        <c:grouping val="standard"/>
        <c:varyColors val="0"/>
        <c:ser>
          <c:idx val="1"/>
          <c:order val="1"/>
          <c:tx>
            <c:strRef>
              <c:f>'Valor dos Contrato'!$G$12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'Valor dos Contrato'!$E$13:$E$21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'Valor dos Contrato'!$G$13:$G$21</c:f>
              <c:numCache>
                <c:formatCode>General</c:formatCode>
                <c:ptCount val="8"/>
                <c:pt idx="0">
                  <c:v>7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5C-4BDB-B720-180630918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030416"/>
        <c:axId val="556031400"/>
      </c:lineChart>
      <c:catAx>
        <c:axId val="66595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6064"/>
        <c:crosses val="autoZero"/>
        <c:auto val="1"/>
        <c:lblAlgn val="ctr"/>
        <c:lblOffset val="100"/>
        <c:noMultiLvlLbl val="0"/>
      </c:catAx>
      <c:valAx>
        <c:axId val="6659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3440"/>
        <c:crosses val="autoZero"/>
        <c:crossBetween val="between"/>
      </c:valAx>
      <c:valAx>
        <c:axId val="5560314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6030416"/>
        <c:crosses val="max"/>
        <c:crossBetween val="between"/>
      </c:valAx>
      <c:catAx>
        <c:axId val="5560304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60314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[excel_5_macro_automatizacao.xlsm]Valor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</c:strCache>
            </c:strRef>
          </c:cat>
          <c:val>
            <c:numRef>
              <c:f>'Valor Por Veículo'!$B$4:$B$7</c:f>
              <c:numCache>
                <c:formatCode>_("R$"* #,##0.00_);_("R$"* \(#,##0.00\);_("R$"* "-"??_);_(@_)</c:formatCode>
                <c:ptCount val="3"/>
                <c:pt idx="0">
                  <c:v>1632.5581395348838</c:v>
                </c:pt>
                <c:pt idx="1">
                  <c:v>3129.1500874635567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C-4097-B7B3-B3E522541A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691800832"/>
        <c:axId val="511633304"/>
      </c:barChart>
      <c:catAx>
        <c:axId val="69180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1633304"/>
        <c:crosses val="autoZero"/>
        <c:auto val="1"/>
        <c:lblAlgn val="ctr"/>
        <c:lblOffset val="100"/>
        <c:noMultiLvlLbl val="0"/>
      </c:catAx>
      <c:valAx>
        <c:axId val="511633304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180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[excel_5_macro_automatizacao.xlsm]Valor Por Veículo!Tabela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2E-4529-9946-9A0E33E31C3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2E-4529-9946-9A0E33E31C3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2E-4529-9946-9A0E33E31C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</c:strCache>
            </c:strRef>
          </c:cat>
          <c:val>
            <c:numRef>
              <c:f>'Valor Por Veículo'!$B$4:$B$7</c:f>
              <c:numCache>
                <c:formatCode>_("R$"* #,##0.00_);_("R$"* \(#,##0.00\);_("R$"* "-"??_);_(@_)</c:formatCode>
                <c:ptCount val="3"/>
                <c:pt idx="0">
                  <c:v>1632.5581395348838</c:v>
                </c:pt>
                <c:pt idx="1">
                  <c:v>3129.1500874635567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2E-4529-9946-9A0E33E31C3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0</xdr:row>
      <xdr:rowOff>123824</xdr:rowOff>
    </xdr:from>
    <xdr:to>
      <xdr:col>6</xdr:col>
      <xdr:colOff>1311088</xdr:colOff>
      <xdr:row>10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">
              <a:extLst>
                <a:ext uri="{FF2B5EF4-FFF2-40B4-BE49-F238E27FC236}">
                  <a16:creationId xmlns:a16="http://schemas.microsoft.com/office/drawing/2014/main" id="{8071D1BE-0FA1-73C3-BF1D-0DB669C6AD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18204" y="123824"/>
              <a:ext cx="4897531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222998</xdr:colOff>
      <xdr:row>0</xdr:row>
      <xdr:rowOff>120463</xdr:rowOff>
    </xdr:from>
    <xdr:to>
      <xdr:col>2</xdr:col>
      <xdr:colOff>471769</xdr:colOff>
      <xdr:row>10</xdr:row>
      <xdr:rowOff>56029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32FA08F4-2363-D0F6-9368-662BE7B768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998" y="120463"/>
              <a:ext cx="1828800" cy="18405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1352549</xdr:colOff>
      <xdr:row>1</xdr:row>
      <xdr:rowOff>5321</xdr:rowOff>
    </xdr:from>
    <xdr:to>
      <xdr:col>17</xdr:col>
      <xdr:colOff>600074</xdr:colOff>
      <xdr:row>18</xdr:row>
      <xdr:rowOff>180974</xdr:rowOff>
    </xdr:to>
    <xdr:graphicFrame macro="">
      <xdr:nvGraphicFramePr>
        <xdr:cNvPr id="2" name="Gráfico 6">
          <a:extLst>
            <a:ext uri="{FF2B5EF4-FFF2-40B4-BE49-F238E27FC236}">
              <a16:creationId xmlns:a16="http://schemas.microsoft.com/office/drawing/2014/main" id="{603C8848-E801-7433-9EAD-8F6E5EFBF3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14286</xdr:rowOff>
    </xdr:from>
    <xdr:to>
      <xdr:col>7</xdr:col>
      <xdr:colOff>590549</xdr:colOff>
      <xdr:row>18</xdr:row>
      <xdr:rowOff>171449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94759507-0D29-A0F2-A87C-8379D14457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19</xdr:row>
      <xdr:rowOff>9525</xdr:rowOff>
    </xdr:from>
    <xdr:to>
      <xdr:col>36</xdr:col>
      <xdr:colOff>483674</xdr:colOff>
      <xdr:row>24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A2D6521-1C7F-B2BF-CA94-E88EB961CF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6136" y="3732934"/>
              <a:ext cx="12398583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46</xdr:col>
      <xdr:colOff>2095500</xdr:colOff>
      <xdr:row>1</xdr:row>
      <xdr:rowOff>5321</xdr:rowOff>
    </xdr:from>
    <xdr:to>
      <xdr:col>55</xdr:col>
      <xdr:colOff>588819</xdr:colOff>
      <xdr:row>18</xdr:row>
      <xdr:rowOff>180974</xdr:rowOff>
    </xdr:to>
    <xdr:graphicFrame macro="">
      <xdr:nvGraphicFramePr>
        <xdr:cNvPr id="13" name="Gráfico 6">
          <a:extLst>
            <a:ext uri="{FF2B5EF4-FFF2-40B4-BE49-F238E27FC236}">
              <a16:creationId xmlns:a16="http://schemas.microsoft.com/office/drawing/2014/main" id="{DD0DDC78-9C85-43E6-A051-27D6D45AF4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1</xdr:row>
      <xdr:rowOff>14286</xdr:rowOff>
    </xdr:from>
    <xdr:to>
      <xdr:col>45</xdr:col>
      <xdr:colOff>590549</xdr:colOff>
      <xdr:row>18</xdr:row>
      <xdr:rowOff>171449</xdr:rowOff>
    </xdr:to>
    <xdr:graphicFrame macro="">
      <xdr:nvGraphicFramePr>
        <xdr:cNvPr id="14" name="Gráfico 5">
          <a:extLst>
            <a:ext uri="{FF2B5EF4-FFF2-40B4-BE49-F238E27FC236}">
              <a16:creationId xmlns:a16="http://schemas.microsoft.com/office/drawing/2014/main" id="{53810171-7FE0-45BA-9DB6-98B3AE9003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504825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55418</xdr:colOff>
          <xdr:row>0</xdr:row>
          <xdr:rowOff>54553</xdr:rowOff>
        </xdr:from>
        <xdr:to>
          <xdr:col>19</xdr:col>
          <xdr:colOff>541193</xdr:colOff>
          <xdr:row>2</xdr:row>
          <xdr:rowOff>35503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55418</xdr:colOff>
          <xdr:row>0</xdr:row>
          <xdr:rowOff>49357</xdr:rowOff>
        </xdr:from>
        <xdr:to>
          <xdr:col>38</xdr:col>
          <xdr:colOff>541193</xdr:colOff>
          <xdr:row>2</xdr:row>
          <xdr:rowOff>49357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42430</xdr:colOff>
      <xdr:row>1</xdr:row>
      <xdr:rowOff>48922</xdr:rowOff>
    </xdr:from>
    <xdr:to>
      <xdr:col>26</xdr:col>
      <xdr:colOff>554182</xdr:colOff>
      <xdr:row>18</xdr:row>
      <xdr:rowOff>155863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3E8BEB8A-9085-00A7-E920-53E0CF44BD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0</xdr:colOff>
      <xdr:row>1</xdr:row>
      <xdr:rowOff>34636</xdr:rowOff>
    </xdr:from>
    <xdr:to>
      <xdr:col>36</xdr:col>
      <xdr:colOff>588818</xdr:colOff>
      <xdr:row>18</xdr:row>
      <xdr:rowOff>190500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3AF5B140-A123-9E8C-EBA6-49D999775C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57150</xdr:rowOff>
        </xdr:from>
        <xdr:to>
          <xdr:col>1</xdr:col>
          <xdr:colOff>400050</xdr:colOff>
          <xdr:row>2</xdr:row>
          <xdr:rowOff>314325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2</xdr:row>
          <xdr:rowOff>57150</xdr:rowOff>
        </xdr:from>
        <xdr:to>
          <xdr:col>3</xdr:col>
          <xdr:colOff>114300</xdr:colOff>
          <xdr:row>2</xdr:row>
          <xdr:rowOff>333375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s Farias De Crvalho" refreshedDate="44810.89189421296" createdVersion="8" refreshedVersion="8" minRefreshableVersion="3" recordCount="28" xr:uid="{9F5C11F9-4E09-4E3E-B273-569333584C19}">
  <cacheSource type="worksheet">
    <worksheetSource name="tabelaEntrega"/>
  </cacheSource>
  <cacheFields count="13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/>
    </cacheField>
    <cacheField name="Origem" numFmtId="0">
      <sharedItems/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151345936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s Farias De Crvalho" refreshedDate="44815.368524189813" createdVersion="8" refreshedVersion="8" minRefreshableVersion="3" recordCount="28" xr:uid="{EBD05D55-EF88-487C-A7C9-341A17221EFA}">
  <cacheSource type="worksheet">
    <worksheetSource ref="A1:M29" sheet="Controle de Entregas"/>
  </cacheSource>
  <cacheFields count="13">
    <cacheField name="Cliente" numFmtId="0">
      <sharedItems/>
    </cacheField>
    <cacheField name="Data Contrato" numFmtId="14">
      <sharedItems containsSemiMixedTypes="0" containsNonDate="0" containsDate="1" containsString="0" minDate="2019-03-01T00:00:00" maxDate="2020-01-23T00:00:00"/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/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/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71479906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s Farias De Crvalho" refreshedDate="44815.375462268516" createdVersion="8" refreshedVersion="8" minRefreshableVersion="3" recordCount="29" xr:uid="{43C11DFD-7635-4B16-A012-A3B330CDA7DB}">
  <cacheSource type="worksheet">
    <worksheetSource name="dadosTabelaDinamic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11-10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1632.5581395348838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390"/>
    </cacheField>
    <cacheField name="Tipo de Veículo" numFmtId="0">
      <sharedItems containsBlank="1" count="4">
        <s v="Utilitário Pequeno"/>
        <s v="Caminhão Baú"/>
        <m/>
        <s v="Caminhão Frigorífic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12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s v="Encerrado"/>
    <n v="869.32"/>
    <x v="0"/>
    <n v="25"/>
    <s v="Utilitário Pequeno"/>
    <s v="MG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s v="Utilitário Pequeno"/>
    <s v="MG"/>
    <d v="2019-04-20T00:00:00"/>
    <s v="Finalizada - Em Dia"/>
    <s v="RJ"/>
    <d v="2019-04-20T00:00:00"/>
    <s v="Finalizada - Em Dia"/>
  </r>
  <r>
    <x v="0"/>
    <x v="2"/>
    <s v="Encerrado"/>
    <n v="256.32"/>
    <x v="1"/>
    <n v="9"/>
    <s v="Utilitário Pequeno"/>
    <s v="MG"/>
    <d v="2019-04-20T00:00:00"/>
    <s v="Finalizada - Em Dia"/>
    <s v="RJ"/>
    <d v="2019-04-20T00:00:00"/>
    <s v="Finalizada - Em Dia"/>
  </r>
  <r>
    <x v="0"/>
    <x v="3"/>
    <s v="Encerrado"/>
    <n v="726.32"/>
    <x v="0"/>
    <n v="23"/>
    <s v="Utilitário Pequeno"/>
    <s v="MG"/>
    <d v="2019-10-10T00:00:00"/>
    <s v="Finalizada - Atrasada"/>
    <s v="SP"/>
    <d v="2019-10-10T00:00:00"/>
    <s v="Finalizada - Atrasada"/>
  </r>
  <r>
    <x v="0"/>
    <x v="4"/>
    <s v="Aberto"/>
    <n v="452.12"/>
    <x v="1"/>
    <n v="14"/>
    <s v="Utilitário Pequeno"/>
    <s v="MG"/>
    <d v="2019-12-20T00:00:00"/>
    <s v="Em Aberto - Atrasada"/>
    <s v="SP"/>
    <d v="2019-12-20T00:00:00"/>
    <s v="Em Aberto - Atrasada"/>
  </r>
  <r>
    <x v="0"/>
    <x v="5"/>
    <s v="Aberto"/>
    <n v="956.32"/>
    <x v="0"/>
    <n v="28"/>
    <s v="Utilitário Pequeno"/>
    <s v="MG"/>
    <d v="2019-12-20T00:00:00"/>
    <s v="Em Aberto - Atrasada"/>
    <s v="SP"/>
    <d v="2019-12-20T00:00:00"/>
    <s v="Em Aberto - Atrasada"/>
  </r>
  <r>
    <x v="1"/>
    <x v="6"/>
    <s v="Encerrado"/>
    <n v="2395"/>
    <x v="2"/>
    <n v="343"/>
    <s v="Caminhão Frigorífico"/>
    <s v="MT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s v="Caminhão Frigorífico"/>
    <s v="MT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s v="Caminhão Frigorífico"/>
    <s v="MT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s v="Caminhão Frigorífico"/>
    <s v="MT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s v="Caminhão Frigorífico"/>
    <s v="MT"/>
    <d v="2019-07-20T00:00:00"/>
    <s v="Finalizada - Em Dia"/>
    <s v="SP"/>
    <d v="2019-07-23T00:00:00"/>
    <s v="Finalizada - Em Dia"/>
  </r>
  <r>
    <x v="2"/>
    <x v="11"/>
    <s v="Encerrado"/>
    <n v="600"/>
    <x v="3"/>
    <n v="15"/>
    <s v="Utilitário Pequeno"/>
    <s v="AM"/>
    <d v="2019-07-07T00:00:00"/>
    <s v="Finalizada - Em Dia"/>
    <s v="BA"/>
    <d v="2019-07-12T00:00:00"/>
    <s v="Finalizada - Em Dia"/>
  </r>
  <r>
    <x v="2"/>
    <x v="12"/>
    <s v="Encerrado"/>
    <n v="920"/>
    <x v="4"/>
    <n v="23"/>
    <s v="Utilitário Pequeno"/>
    <s v="AM"/>
    <d v="2019-08-16T00:00:00"/>
    <s v="Finalizada - Em Dia"/>
    <s v="BA"/>
    <d v="2019-07-22T00:00:00"/>
    <s v="Finalizada - Atrasada"/>
  </r>
  <r>
    <x v="2"/>
    <x v="13"/>
    <s v="Encerrado"/>
    <n v="440"/>
    <x v="3"/>
    <n v="11"/>
    <s v="Utilitário Pequeno"/>
    <s v="AM"/>
    <d v="2019-08-16T00:00:00"/>
    <s v="Finalizada - Em Dia"/>
    <s v="SP"/>
    <d v="2019-08-23T00:00:00"/>
    <s v="Finalizada - Atrasada"/>
  </r>
  <r>
    <x v="2"/>
    <x v="14"/>
    <s v="Encerrado"/>
    <n v="680"/>
    <x v="3"/>
    <n v="17"/>
    <s v="Utilitário Pequeno"/>
    <s v="AM"/>
    <d v="2019-10-22T00:00:00"/>
    <s v="Finalizada - Em Dia"/>
    <s v="MG"/>
    <d v="2019-10-28T00:00:00"/>
    <s v="Finalizada - Em Dia"/>
  </r>
  <r>
    <x v="2"/>
    <x v="15"/>
    <s v="Aberto"/>
    <n v="120"/>
    <x v="5"/>
    <n v="3"/>
    <s v="Utilitário Pequeno"/>
    <s v="AM"/>
    <d v="2019-12-05T00:00:00"/>
    <s v="Em Aberto - Atrasada"/>
    <s v="SP"/>
    <d v="2019-12-12T00:00:00"/>
    <s v="Em Aberto - Atrasada"/>
  </r>
  <r>
    <x v="2"/>
    <x v="16"/>
    <s v="Aberto"/>
    <n v="480"/>
    <x v="3"/>
    <n v="12"/>
    <s v="Utilitário Pequeno"/>
    <s v="AM"/>
    <d v="2020-01-15T00:00:00"/>
    <s v="Em Aberto - Atrasada"/>
    <s v="SP"/>
    <d v="2019-01-21T00:00:00"/>
    <s v="Em Aberto - Atrasada"/>
  </r>
  <r>
    <x v="2"/>
    <x v="17"/>
    <s v="Aberto"/>
    <n v="80"/>
    <x v="5"/>
    <n v="2"/>
    <s v="Utilitário Pequeno"/>
    <s v="AM"/>
    <d v="2020-01-15T00:00:00"/>
    <s v="Em Aberto - Atrasada"/>
    <s v="SP"/>
    <d v="2019-01-21T00:00:00"/>
    <s v="Em Aberto - Atrasada"/>
  </r>
  <r>
    <x v="3"/>
    <x v="18"/>
    <s v="Encerrado"/>
    <n v="1800"/>
    <x v="6"/>
    <n v="430"/>
    <s v="Caminhão Baú"/>
    <s v="SP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s v="Caminhão Baú"/>
    <s v="SP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s v="Caminhão Baú"/>
    <s v="SP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s v="Utilitário Pequeno"/>
    <s v="SP"/>
    <d v="2019-04-05T00:00:00"/>
    <s v="Finalizada - Em Dia"/>
    <s v="SP"/>
    <d v="2019-04-05T00:00:00"/>
    <s v="Finalizada - Em Dia"/>
  </r>
  <r>
    <x v="4"/>
    <x v="22"/>
    <s v="Encerrado"/>
    <n v="854.4"/>
    <x v="7"/>
    <n v="30"/>
    <s v="Utilitário Pequeno"/>
    <s v="SP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s v="Utilitário Pequeno"/>
    <s v="SP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s v="Utilitário Pequeno"/>
    <s v="SP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s v="Utilitário Pequeno"/>
    <s v="SP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s v="Utilitário Pequeno"/>
    <s v="SP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s v="Utilitário Pequeno"/>
    <s v="SP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Atrasada"/>
    <s v="SP"/>
    <d v="2019-12-09T00:00:00"/>
    <s v="Em Aberto - Atrasad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12-20T00:00:00"/>
    <s v="Aberto"/>
    <n v="1632.5581395348838"/>
    <s v="Linha Branca"/>
    <n v="390"/>
    <x v="1"/>
    <s v="SP"/>
    <d v="2019-12-22T00:00:00"/>
    <s v="Em Aberto - Atrasada"/>
    <s v="SP"/>
    <d v="2019-12-22T00:00:00"/>
    <s v="Em Aberto - Atrasada"/>
  </r>
  <r>
    <s v="Papelaria Sem Papel"/>
    <d v="2019-12-07T00:00:00"/>
    <s v="Aberto"/>
    <n v="614.77714285714285"/>
    <s v="Artigos de Papelaria"/>
    <n v="18"/>
    <x v="0"/>
    <s v="SP"/>
    <d v="2019-12-09T00:00:00"/>
    <s v="Em Aberto - Atrasada"/>
    <s v="SP"/>
    <d v="2019-12-09T00:00:00"/>
    <s v="Em Aberto - Atrasad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A5F7B-51C9-4432-B4E2-07DF42E7423A}" name="Tabela dinâmica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9">
  <location ref="E12:G21" firstHeaderRow="0" firstDataRow="1" firstDataCol="1"/>
  <pivotFields count="13">
    <pivotField showAll="0">
      <items count="6">
        <item x="3"/>
        <item x="1"/>
        <item x="0"/>
        <item x="4"/>
        <item x="2"/>
        <item t="default"/>
      </items>
    </pivotField>
    <pivotField numFmtId="14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</pivotField>
    <pivotField showAll="0"/>
    <pivotField numFmtId="44" showAll="0"/>
    <pivotField axis="axisRow" showAll="0">
      <items count="9">
        <item x="7"/>
        <item x="2"/>
        <item x="5"/>
        <item x="3"/>
        <item x="0"/>
        <item x="6"/>
        <item x="1"/>
        <item x="4"/>
        <item t="default"/>
      </items>
    </pivotField>
    <pivotField dataField="1" showAll="0"/>
    <pivotField showAll="0"/>
    <pivotField showAll="0"/>
    <pivotField numFmtId="14" showAll="0"/>
    <pivotField showAll="0"/>
    <pivotField dataField="1" showAll="0"/>
    <pivotField numFmtId="14"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chartFormats count="4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ACB5B8-6563-4647-8422-06A5149A48CB}" name="Tabela dinâmica2" cacheId="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2">
  <location ref="B12:C16" firstHeaderRow="1" firstDataRow="1" firstDataCol="1"/>
  <pivotFields count="13">
    <pivotField showAll="0"/>
    <pivotField numFmtId="14" showAll="0"/>
    <pivotField showAll="0"/>
    <pivotField dataField="1" numFmtId="44"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0" baseItem="0"/>
  </dataFields>
  <chartFormats count="8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1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1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A34076-265C-4ADA-BE49-BDEEC3C61AF1}" name="Tabela dinâmica1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B7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1"/>
        <item m="1" x="3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/>
  </dataFields>
  <formats count="2">
    <format dxfId="1">
      <pivotArea collapsedLevelsAreSubtotals="1" fieldPosition="0">
        <references count="1">
          <reference field="6" count="0"/>
        </references>
      </pivotArea>
    </format>
    <format dxfId="0">
      <pivotArea grandRow="1" outline="0" collapsedLevelsAreSubtotals="1" fieldPosition="0"/>
    </format>
  </formats>
  <chartFormats count="5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0D079B95-9A67-473D-9BFA-69BA1DDFA8CC}" sourceName="Cliente">
  <pivotTables>
    <pivotTable tabId="5" name="Tabela dinâmica3"/>
  </pivotTables>
  <data>
    <tabular pivotCacheId="1513459369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C4A41FC-7EB6-4FF2-89B4-4B638B86C325}" cache="SegmentaçãodeDados_Cliente" caption="Cliente" style="SlicerStyleDark6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F30E7C48-E543-42EA-A744-A2391BE90157}" sourceName="Data Contrato">
  <pivotTables>
    <pivotTable tabId="5" name="Tabela dinâmica3"/>
  </pivotTables>
  <state minimalRefreshVersion="6" lastRefreshVersion="6" pivotCacheId="1513459369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BBBDEDE1-D971-46D1-8AF5-94ABA792C32C}" cache="NativeTimeline_Data_Contrato" caption="Data Contrato" level="2" selectionLevel="2" scrollPosition="2019-12-01T00:00:00" style="TimeSlicerStyleDark6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96F40302-84D3-45A0-8A15-0E9D279B127F}" cache="NativeTimeline_Data_Contrato" caption="Data Contrato" showSelectionLabel="0" showTimeLevel="0" level="2" selectionLevel="2" scrollPosition="2019-01-01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1"/>
  <dimension ref="A1:M40"/>
  <sheetViews>
    <sheetView workbookViewId="0">
      <selection activeCell="E9" sqref="E9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26</v>
      </c>
      <c r="K27" s="4" t="s">
        <v>27</v>
      </c>
      <c r="L27" s="5">
        <v>43808</v>
      </c>
      <c r="M27" s="4" t="s">
        <v>26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B30" s="5"/>
    </row>
    <row r="31" spans="1:13" x14ac:dyDescent="0.25">
      <c r="B31" s="5"/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  <row r="40" spans="2:2" x14ac:dyDescent="0.25">
      <c r="B40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50371-2DF4-4AFE-93BD-778662FEAB49}">
  <sheetPr codeName="Planilha2"/>
  <dimension ref="B11:G21"/>
  <sheetViews>
    <sheetView showGridLines="0" zoomScale="85" zoomScaleNormal="85" workbookViewId="0">
      <selection activeCell="F25" sqref="F25"/>
    </sheetView>
  </sheetViews>
  <sheetFormatPr defaultRowHeight="15" x14ac:dyDescent="0.25"/>
  <cols>
    <col min="1" max="1" width="3.28515625" customWidth="1"/>
    <col min="2" max="2" width="20.28515625" bestFit="1" customWidth="1"/>
    <col min="3" max="3" width="25" bestFit="1" customWidth="1"/>
    <col min="4" max="4" width="0.42578125" customWidth="1"/>
    <col min="5" max="5" width="20.140625" bestFit="1" customWidth="1"/>
    <col min="6" max="6" width="17.5703125" bestFit="1" customWidth="1"/>
    <col min="7" max="7" width="20.28515625" bestFit="1" customWidth="1"/>
    <col min="8" max="8" width="20" bestFit="1" customWidth="1"/>
  </cols>
  <sheetData>
    <row r="11" spans="2:7" ht="5.25" customHeight="1" x14ac:dyDescent="0.25"/>
    <row r="12" spans="2:7" x14ac:dyDescent="0.25">
      <c r="B12" s="6" t="s">
        <v>40</v>
      </c>
      <c r="C12" t="s">
        <v>42</v>
      </c>
      <c r="E12" s="6" t="s">
        <v>40</v>
      </c>
      <c r="F12" t="s">
        <v>43</v>
      </c>
      <c r="G12" t="s">
        <v>44</v>
      </c>
    </row>
    <row r="13" spans="2:7" x14ac:dyDescent="0.25">
      <c r="B13" s="7" t="s">
        <v>36</v>
      </c>
      <c r="C13" s="8">
        <v>5316.2790697674418</v>
      </c>
      <c r="E13" s="7" t="s">
        <v>39</v>
      </c>
      <c r="F13" s="8">
        <v>182</v>
      </c>
      <c r="G13" s="8">
        <v>7</v>
      </c>
    </row>
    <row r="14" spans="2:7" x14ac:dyDescent="0.25">
      <c r="B14" s="7" t="s">
        <v>31</v>
      </c>
      <c r="C14" s="8">
        <v>8330.1311953352779</v>
      </c>
      <c r="E14" s="7" t="s">
        <v>29</v>
      </c>
      <c r="F14" s="8">
        <v>1193</v>
      </c>
      <c r="G14" s="8">
        <v>5</v>
      </c>
    </row>
    <row r="15" spans="2:7" x14ac:dyDescent="0.25">
      <c r="B15" s="7" t="s">
        <v>22</v>
      </c>
      <c r="C15" s="8">
        <v>11508.056453923184</v>
      </c>
      <c r="E15" s="7" t="s">
        <v>34</v>
      </c>
      <c r="F15" s="8">
        <v>5</v>
      </c>
      <c r="G15" s="8">
        <v>2</v>
      </c>
    </row>
    <row r="16" spans="2:7" x14ac:dyDescent="0.25">
      <c r="B16" s="7" t="s">
        <v>41</v>
      </c>
      <c r="C16" s="8">
        <v>25154.466719025906</v>
      </c>
      <c r="E16" s="7" t="s">
        <v>32</v>
      </c>
      <c r="F16" s="8">
        <v>55</v>
      </c>
      <c r="G16" s="8">
        <v>4</v>
      </c>
    </row>
    <row r="17" spans="5:7" x14ac:dyDescent="0.25">
      <c r="E17" s="7" t="s">
        <v>20</v>
      </c>
      <c r="F17" s="8">
        <v>76</v>
      </c>
      <c r="G17" s="8">
        <v>3</v>
      </c>
    </row>
    <row r="18" spans="5:7" x14ac:dyDescent="0.25">
      <c r="E18" s="7" t="s">
        <v>35</v>
      </c>
      <c r="F18" s="8">
        <v>1270</v>
      </c>
      <c r="G18" s="8">
        <v>3</v>
      </c>
    </row>
    <row r="19" spans="5:7" x14ac:dyDescent="0.25">
      <c r="E19" s="7" t="s">
        <v>5</v>
      </c>
      <c r="F19" s="8">
        <v>39</v>
      </c>
      <c r="G19" s="8">
        <v>3</v>
      </c>
    </row>
    <row r="20" spans="5:7" x14ac:dyDescent="0.25">
      <c r="E20" s="7" t="s">
        <v>33</v>
      </c>
      <c r="F20" s="8">
        <v>23</v>
      </c>
      <c r="G20" s="8">
        <v>1</v>
      </c>
    </row>
    <row r="21" spans="5:7" x14ac:dyDescent="0.25">
      <c r="E21" s="7" t="s">
        <v>41</v>
      </c>
      <c r="F21" s="8">
        <v>2843</v>
      </c>
      <c r="G21" s="8">
        <v>28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B143-41ED-4438-885D-5A87C40D1A74}">
  <sheetPr codeName="Planilha3"/>
  <dimension ref="A1:BE19"/>
  <sheetViews>
    <sheetView showGridLines="0" tabSelected="1" zoomScale="55" zoomScaleNormal="55" workbookViewId="0">
      <selection activeCell="BF22" sqref="BF22"/>
    </sheetView>
  </sheetViews>
  <sheetFormatPr defaultRowHeight="15" x14ac:dyDescent="0.25"/>
  <cols>
    <col min="2" max="8" width="9.140625" hidden="1" customWidth="1"/>
    <col min="9" max="9" width="20.28515625" hidden="1" customWidth="1"/>
    <col min="10" max="15" width="9.140625" hidden="1" customWidth="1"/>
    <col min="16" max="16" width="8" hidden="1" customWidth="1"/>
    <col min="17" max="17" width="6.5703125" hidden="1" customWidth="1"/>
    <col min="18" max="18" width="0.5703125" hidden="1" customWidth="1"/>
    <col min="19" max="19" width="32.5703125" hidden="1" customWidth="1"/>
    <col min="21" max="27" width="9.140625" customWidth="1"/>
    <col min="28" max="28" width="33.140625" customWidth="1"/>
    <col min="29" max="37" width="9.140625" customWidth="1"/>
    <col min="38" max="38" width="33.140625" customWidth="1"/>
    <col min="39" max="39" width="9.140625" customWidth="1"/>
    <col min="40" max="46" width="9.140625" hidden="1" customWidth="1"/>
    <col min="47" max="47" width="33.140625" hidden="1" customWidth="1"/>
    <col min="48" max="56" width="9.140625" hidden="1" customWidth="1"/>
    <col min="57" max="57" width="33.140625" hidden="1" customWidth="1"/>
  </cols>
  <sheetData>
    <row r="1" spans="1:57" ht="19.5" thickBot="1" x14ac:dyDescent="0.35">
      <c r="A1" s="37" t="s">
        <v>52</v>
      </c>
      <c r="B1" s="19" t="s">
        <v>46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1"/>
      <c r="T1" s="34" t="s">
        <v>53</v>
      </c>
      <c r="U1" s="19" t="s">
        <v>46</v>
      </c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1"/>
      <c r="AM1" s="37" t="s">
        <v>54</v>
      </c>
      <c r="AN1" s="19" t="s">
        <v>46</v>
      </c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1"/>
    </row>
    <row r="2" spans="1:57" x14ac:dyDescent="0.25">
      <c r="A2" s="38"/>
      <c r="B2" s="9"/>
      <c r="C2" s="10"/>
      <c r="D2" s="10"/>
      <c r="E2" s="10"/>
      <c r="F2" s="10"/>
      <c r="G2" s="10"/>
      <c r="H2" s="11"/>
      <c r="I2" s="18" t="s">
        <v>45</v>
      </c>
      <c r="J2" s="9"/>
      <c r="K2" s="10"/>
      <c r="L2" s="10"/>
      <c r="M2" s="10"/>
      <c r="N2" s="10"/>
      <c r="O2" s="10"/>
      <c r="P2" s="10"/>
      <c r="Q2" s="10"/>
      <c r="R2" s="11"/>
      <c r="S2" s="18" t="s">
        <v>49</v>
      </c>
      <c r="T2" s="35"/>
      <c r="U2" s="9"/>
      <c r="V2" s="10"/>
      <c r="W2" s="10"/>
      <c r="X2" s="10"/>
      <c r="Y2" s="10"/>
      <c r="Z2" s="10"/>
      <c r="AA2" s="11"/>
      <c r="AB2" s="18" t="s">
        <v>45</v>
      </c>
      <c r="AC2" s="9"/>
      <c r="AD2" s="10"/>
      <c r="AE2" s="10"/>
      <c r="AF2" s="10"/>
      <c r="AG2" s="10"/>
      <c r="AH2" s="10"/>
      <c r="AI2" s="10"/>
      <c r="AJ2" s="10"/>
      <c r="AK2" s="11"/>
      <c r="AL2" s="18" t="s">
        <v>49</v>
      </c>
      <c r="AM2" s="38"/>
      <c r="AN2" s="9"/>
      <c r="AO2" s="10"/>
      <c r="AP2" s="10"/>
      <c r="AQ2" s="10"/>
      <c r="AR2" s="10"/>
      <c r="AS2" s="10"/>
      <c r="AT2" s="11"/>
      <c r="AU2" s="18" t="s">
        <v>45</v>
      </c>
      <c r="AV2" s="9"/>
      <c r="AW2" s="10"/>
      <c r="AX2" s="10"/>
      <c r="AY2" s="10"/>
      <c r="AZ2" s="10"/>
      <c r="BA2" s="10"/>
      <c r="BB2" s="10"/>
      <c r="BC2" s="10"/>
      <c r="BD2" s="11"/>
      <c r="BE2" s="18" t="s">
        <v>49</v>
      </c>
    </row>
    <row r="3" spans="1:57" x14ac:dyDescent="0.25">
      <c r="A3" s="38"/>
      <c r="B3" s="12"/>
      <c r="C3" s="13"/>
      <c r="D3" s="13"/>
      <c r="E3" s="13"/>
      <c r="F3" s="13"/>
      <c r="G3" s="13"/>
      <c r="H3" s="14"/>
      <c r="I3" s="22">
        <f>GETPIVOTDATA("Soma de Peso (Kg)",'Valor dos Contrato'!$E$12)</f>
        <v>2843</v>
      </c>
      <c r="J3" s="12"/>
      <c r="K3" s="13"/>
      <c r="L3" s="13"/>
      <c r="M3" s="13"/>
      <c r="N3" s="13"/>
      <c r="O3" s="13"/>
      <c r="P3" s="13"/>
      <c r="Q3" s="13"/>
      <c r="R3" s="14"/>
      <c r="S3" s="24">
        <f>GETPIVOTDATA("Valor do Contrato",'Valor dos Contrato'!$B$12)</f>
        <v>25154.466719025906</v>
      </c>
      <c r="T3" s="35"/>
      <c r="U3" s="12"/>
      <c r="V3" s="13"/>
      <c r="W3" s="13"/>
      <c r="X3" s="13"/>
      <c r="Y3" s="13"/>
      <c r="Z3" s="13"/>
      <c r="AA3" s="14"/>
      <c r="AB3" s="22">
        <f>GETPIVOTDATA("Soma de Peso (Kg)",'Valor dos Contrato'!$E$12)</f>
        <v>2843</v>
      </c>
      <c r="AC3" s="12"/>
      <c r="AD3" s="13"/>
      <c r="AE3" s="13"/>
      <c r="AF3" s="13"/>
      <c r="AG3" s="13"/>
      <c r="AH3" s="13"/>
      <c r="AI3" s="13"/>
      <c r="AJ3" s="13"/>
      <c r="AK3" s="14"/>
      <c r="AL3" s="24">
        <f>GETPIVOTDATA("Valor do Contrato",'Valor dos Contrato'!$B$12)</f>
        <v>25154.466719025906</v>
      </c>
      <c r="AM3" s="38"/>
      <c r="AN3" s="12"/>
      <c r="AO3" s="13"/>
      <c r="AP3" s="13"/>
      <c r="AQ3" s="13"/>
      <c r="AR3" s="13"/>
      <c r="AS3" s="13"/>
      <c r="AT3" s="14"/>
      <c r="AU3" s="22">
        <f>GETPIVOTDATA("Soma de Peso (Kg)",'Valor dos Contrato'!$E$12)</f>
        <v>2843</v>
      </c>
      <c r="AV3" s="12"/>
      <c r="AW3" s="13"/>
      <c r="AX3" s="13"/>
      <c r="AY3" s="13"/>
      <c r="AZ3" s="13"/>
      <c r="BA3" s="13"/>
      <c r="BB3" s="13"/>
      <c r="BC3" s="13"/>
      <c r="BD3" s="14"/>
      <c r="BE3" s="24">
        <f>GETPIVOTDATA("Valor do Contrato",'Valor dos Contrato'!$B$12)</f>
        <v>25154.466719025906</v>
      </c>
    </row>
    <row r="4" spans="1:57" x14ac:dyDescent="0.25">
      <c r="A4" s="38"/>
      <c r="B4" s="12"/>
      <c r="C4" s="13"/>
      <c r="D4" s="13"/>
      <c r="E4" s="13"/>
      <c r="F4" s="13"/>
      <c r="G4" s="13"/>
      <c r="H4" s="14"/>
      <c r="I4" s="22"/>
      <c r="J4" s="12"/>
      <c r="K4" s="13"/>
      <c r="L4" s="13"/>
      <c r="M4" s="13"/>
      <c r="N4" s="13"/>
      <c r="O4" s="13"/>
      <c r="P4" s="13"/>
      <c r="Q4" s="13"/>
      <c r="R4" s="14"/>
      <c r="S4" s="24"/>
      <c r="T4" s="35"/>
      <c r="U4" s="12"/>
      <c r="V4" s="13"/>
      <c r="W4" s="13"/>
      <c r="X4" s="13"/>
      <c r="Y4" s="13"/>
      <c r="Z4" s="13"/>
      <c r="AA4" s="14"/>
      <c r="AB4" s="22"/>
      <c r="AC4" s="12"/>
      <c r="AD4" s="13"/>
      <c r="AE4" s="13"/>
      <c r="AF4" s="13"/>
      <c r="AG4" s="13"/>
      <c r="AH4" s="13"/>
      <c r="AI4" s="13"/>
      <c r="AJ4" s="13"/>
      <c r="AK4" s="14"/>
      <c r="AL4" s="24"/>
      <c r="AM4" s="38"/>
      <c r="AN4" s="12"/>
      <c r="AO4" s="13"/>
      <c r="AP4" s="13"/>
      <c r="AQ4" s="13"/>
      <c r="AR4" s="13"/>
      <c r="AS4" s="13"/>
      <c r="AT4" s="14"/>
      <c r="AU4" s="22"/>
      <c r="AV4" s="12"/>
      <c r="AW4" s="13"/>
      <c r="AX4" s="13"/>
      <c r="AY4" s="13"/>
      <c r="AZ4" s="13"/>
      <c r="BA4" s="13"/>
      <c r="BB4" s="13"/>
      <c r="BC4" s="13"/>
      <c r="BD4" s="14"/>
      <c r="BE4" s="24"/>
    </row>
    <row r="5" spans="1:57" x14ac:dyDescent="0.25">
      <c r="A5" s="38"/>
      <c r="B5" s="12"/>
      <c r="C5" s="13"/>
      <c r="D5" s="13"/>
      <c r="E5" s="13"/>
      <c r="F5" s="13"/>
      <c r="G5" s="13"/>
      <c r="H5" s="14"/>
      <c r="I5" s="22"/>
      <c r="J5" s="12"/>
      <c r="K5" s="13"/>
      <c r="L5" s="13"/>
      <c r="M5" s="13"/>
      <c r="N5" s="13"/>
      <c r="O5" s="13"/>
      <c r="P5" s="13"/>
      <c r="Q5" s="13"/>
      <c r="R5" s="14"/>
      <c r="S5" s="24"/>
      <c r="T5" s="35"/>
      <c r="U5" s="12"/>
      <c r="V5" s="13"/>
      <c r="W5" s="13"/>
      <c r="X5" s="13"/>
      <c r="Y5" s="13"/>
      <c r="Z5" s="13"/>
      <c r="AA5" s="14"/>
      <c r="AB5" s="22"/>
      <c r="AC5" s="12"/>
      <c r="AD5" s="13"/>
      <c r="AE5" s="13"/>
      <c r="AF5" s="13"/>
      <c r="AG5" s="13"/>
      <c r="AH5" s="13"/>
      <c r="AI5" s="13"/>
      <c r="AJ5" s="13"/>
      <c r="AK5" s="14"/>
      <c r="AL5" s="24"/>
      <c r="AM5" s="38"/>
      <c r="AN5" s="12"/>
      <c r="AO5" s="13"/>
      <c r="AP5" s="13"/>
      <c r="AQ5" s="13"/>
      <c r="AR5" s="13"/>
      <c r="AS5" s="13"/>
      <c r="AT5" s="14"/>
      <c r="AU5" s="22"/>
      <c r="AV5" s="12"/>
      <c r="AW5" s="13"/>
      <c r="AX5" s="13"/>
      <c r="AY5" s="13"/>
      <c r="AZ5" s="13"/>
      <c r="BA5" s="13"/>
      <c r="BB5" s="13"/>
      <c r="BC5" s="13"/>
      <c r="BD5" s="14"/>
      <c r="BE5" s="24"/>
    </row>
    <row r="6" spans="1:57" x14ac:dyDescent="0.25">
      <c r="A6" s="38"/>
      <c r="B6" s="12"/>
      <c r="C6" s="13"/>
      <c r="D6" s="13"/>
      <c r="E6" s="13"/>
      <c r="F6" s="13"/>
      <c r="G6" s="13"/>
      <c r="H6" s="14"/>
      <c r="I6" s="22"/>
      <c r="J6" s="12"/>
      <c r="K6" s="13"/>
      <c r="L6" s="13"/>
      <c r="M6" s="13"/>
      <c r="N6" s="13"/>
      <c r="O6" s="13"/>
      <c r="P6" s="13"/>
      <c r="Q6" s="13"/>
      <c r="R6" s="14"/>
      <c r="S6" s="24"/>
      <c r="T6" s="35"/>
      <c r="U6" s="12"/>
      <c r="V6" s="13"/>
      <c r="W6" s="13"/>
      <c r="X6" s="13"/>
      <c r="Y6" s="13"/>
      <c r="Z6" s="13"/>
      <c r="AA6" s="14"/>
      <c r="AB6" s="22"/>
      <c r="AC6" s="12"/>
      <c r="AD6" s="13"/>
      <c r="AE6" s="13"/>
      <c r="AF6" s="13"/>
      <c r="AG6" s="13"/>
      <c r="AH6" s="13"/>
      <c r="AI6" s="13"/>
      <c r="AJ6" s="13"/>
      <c r="AK6" s="14"/>
      <c r="AL6" s="24"/>
      <c r="AM6" s="38"/>
      <c r="AN6" s="12"/>
      <c r="AO6" s="13"/>
      <c r="AP6" s="13"/>
      <c r="AQ6" s="13"/>
      <c r="AR6" s="13"/>
      <c r="AS6" s="13"/>
      <c r="AT6" s="14"/>
      <c r="AU6" s="22"/>
      <c r="AV6" s="12"/>
      <c r="AW6" s="13"/>
      <c r="AX6" s="13"/>
      <c r="AY6" s="13"/>
      <c r="AZ6" s="13"/>
      <c r="BA6" s="13"/>
      <c r="BB6" s="13"/>
      <c r="BC6" s="13"/>
      <c r="BD6" s="14"/>
      <c r="BE6" s="24"/>
    </row>
    <row r="7" spans="1:57" ht="15.75" thickBot="1" x14ac:dyDescent="0.3">
      <c r="A7" s="38"/>
      <c r="B7" s="12"/>
      <c r="C7" s="13"/>
      <c r="D7" s="13"/>
      <c r="E7" s="13"/>
      <c r="F7" s="13"/>
      <c r="G7" s="13"/>
      <c r="H7" s="14"/>
      <c r="I7" s="23"/>
      <c r="J7" s="12"/>
      <c r="K7" s="13"/>
      <c r="L7" s="13"/>
      <c r="M7" s="13"/>
      <c r="N7" s="13"/>
      <c r="O7" s="13"/>
      <c r="P7" s="13"/>
      <c r="Q7" s="13"/>
      <c r="R7" s="14"/>
      <c r="S7" s="25"/>
      <c r="T7" s="35"/>
      <c r="U7" s="12"/>
      <c r="V7" s="13"/>
      <c r="W7" s="13"/>
      <c r="X7" s="13"/>
      <c r="Y7" s="13"/>
      <c r="Z7" s="13"/>
      <c r="AA7" s="14"/>
      <c r="AB7" s="23"/>
      <c r="AC7" s="12"/>
      <c r="AD7" s="13"/>
      <c r="AE7" s="13"/>
      <c r="AF7" s="13"/>
      <c r="AG7" s="13"/>
      <c r="AH7" s="13"/>
      <c r="AI7" s="13"/>
      <c r="AJ7" s="13"/>
      <c r="AK7" s="14"/>
      <c r="AL7" s="25"/>
      <c r="AM7" s="38"/>
      <c r="AN7" s="12"/>
      <c r="AO7" s="13"/>
      <c r="AP7" s="13"/>
      <c r="AQ7" s="13"/>
      <c r="AR7" s="13"/>
      <c r="AS7" s="13"/>
      <c r="AT7" s="14"/>
      <c r="AU7" s="23"/>
      <c r="AV7" s="12"/>
      <c r="AW7" s="13"/>
      <c r="AX7" s="13"/>
      <c r="AY7" s="13"/>
      <c r="AZ7" s="13"/>
      <c r="BA7" s="13"/>
      <c r="BB7" s="13"/>
      <c r="BC7" s="13"/>
      <c r="BD7" s="14"/>
      <c r="BE7" s="25"/>
    </row>
    <row r="8" spans="1:57" x14ac:dyDescent="0.25">
      <c r="A8" s="38"/>
      <c r="B8" s="12"/>
      <c r="C8" s="13"/>
      <c r="D8" s="13"/>
      <c r="E8" s="13"/>
      <c r="F8" s="40"/>
      <c r="G8" s="13"/>
      <c r="H8" s="14"/>
      <c r="I8" s="18" t="s">
        <v>47</v>
      </c>
      <c r="J8" s="12"/>
      <c r="K8" s="13"/>
      <c r="L8" s="13"/>
      <c r="M8" s="13"/>
      <c r="N8" s="13"/>
      <c r="O8" s="13"/>
      <c r="P8" s="13"/>
      <c r="Q8" s="13"/>
      <c r="R8" s="14"/>
      <c r="S8" s="18" t="s">
        <v>50</v>
      </c>
      <c r="T8" s="35"/>
      <c r="U8" s="12"/>
      <c r="V8" s="13"/>
      <c r="W8" s="13"/>
      <c r="X8" s="13"/>
      <c r="Y8" s="13"/>
      <c r="Z8" s="13"/>
      <c r="AA8" s="14"/>
      <c r="AB8" s="18" t="s">
        <v>47</v>
      </c>
      <c r="AC8" s="12"/>
      <c r="AD8" s="13"/>
      <c r="AE8" s="13"/>
      <c r="AF8" s="13"/>
      <c r="AG8" s="13"/>
      <c r="AH8" s="13"/>
      <c r="AI8" s="13"/>
      <c r="AJ8" s="13"/>
      <c r="AK8" s="14"/>
      <c r="AL8" s="18" t="s">
        <v>50</v>
      </c>
      <c r="AM8" s="38"/>
      <c r="AN8" s="12"/>
      <c r="AO8" s="13"/>
      <c r="AP8" s="13"/>
      <c r="AQ8" s="13"/>
      <c r="AR8" s="13"/>
      <c r="AS8" s="13"/>
      <c r="AT8" s="14"/>
      <c r="AU8" s="18" t="s">
        <v>47</v>
      </c>
      <c r="AV8" s="12"/>
      <c r="AW8" s="13"/>
      <c r="AX8" s="13"/>
      <c r="AY8" s="13"/>
      <c r="AZ8" s="13"/>
      <c r="BA8" s="13"/>
      <c r="BB8" s="13"/>
      <c r="BC8" s="13"/>
      <c r="BD8" s="14"/>
      <c r="BE8" s="18" t="s">
        <v>50</v>
      </c>
    </row>
    <row r="9" spans="1:57" ht="15" customHeight="1" x14ac:dyDescent="0.25">
      <c r="A9" s="38"/>
      <c r="B9" s="12"/>
      <c r="C9" s="13"/>
      <c r="D9" s="13"/>
      <c r="E9" s="13"/>
      <c r="F9" s="13"/>
      <c r="G9" s="13"/>
      <c r="H9" s="14"/>
      <c r="I9" s="22">
        <f>GETPIVOTDATA("Contagem de Destino",'Valor dos Contrato'!$E$12)</f>
        <v>28</v>
      </c>
      <c r="J9" s="12"/>
      <c r="K9" s="13"/>
      <c r="L9" s="13"/>
      <c r="M9" s="13"/>
      <c r="N9" s="13"/>
      <c r="O9" s="13"/>
      <c r="P9" s="13"/>
      <c r="Q9" s="13"/>
      <c r="R9" s="14"/>
      <c r="S9" s="22">
        <f>COUNTIF(SituacaoPartida,"Em aberto - Atrasada")</f>
        <v>9</v>
      </c>
      <c r="T9" s="35"/>
      <c r="U9" s="12"/>
      <c r="V9" s="13"/>
      <c r="W9" s="13"/>
      <c r="X9" s="13"/>
      <c r="Y9" s="13"/>
      <c r="Z9" s="13"/>
      <c r="AA9" s="14"/>
      <c r="AB9" s="22">
        <f>GETPIVOTDATA("Contagem de Destino",'Valor dos Contrato'!$E$12)</f>
        <v>28</v>
      </c>
      <c r="AC9" s="12"/>
      <c r="AD9" s="13"/>
      <c r="AE9" s="13"/>
      <c r="AF9" s="13"/>
      <c r="AG9" s="13"/>
      <c r="AH9" s="13"/>
      <c r="AI9" s="13"/>
      <c r="AJ9" s="13"/>
      <c r="AK9" s="14"/>
      <c r="AL9" s="22">
        <f>COUNTIF(SituacaoPartida,"Em aberto - Atrasada")</f>
        <v>9</v>
      </c>
      <c r="AM9" s="38"/>
      <c r="AN9" s="12"/>
      <c r="AO9" s="13"/>
      <c r="AP9" s="13"/>
      <c r="AQ9" s="13"/>
      <c r="AR9" s="13"/>
      <c r="AS9" s="13"/>
      <c r="AT9" s="14"/>
      <c r="AU9" s="22">
        <f>GETPIVOTDATA("Contagem de Destino",'Valor dos Contrato'!$E$12)</f>
        <v>28</v>
      </c>
      <c r="AV9" s="12"/>
      <c r="AW9" s="13"/>
      <c r="AX9" s="13"/>
      <c r="AY9" s="13"/>
      <c r="AZ9" s="13"/>
      <c r="BA9" s="13"/>
      <c r="BB9" s="13"/>
      <c r="BC9" s="13"/>
      <c r="BD9" s="14"/>
      <c r="BE9" s="22">
        <f>COUNTIF(SituacaoPartida,"Em aberto - Atrasada")</f>
        <v>9</v>
      </c>
    </row>
    <row r="10" spans="1:57" ht="15" customHeight="1" x14ac:dyDescent="0.25">
      <c r="A10" s="38"/>
      <c r="B10" s="12"/>
      <c r="C10" s="13"/>
      <c r="D10" s="13"/>
      <c r="E10" s="13"/>
      <c r="F10" s="13"/>
      <c r="G10" s="13"/>
      <c r="H10" s="14"/>
      <c r="I10" s="22"/>
      <c r="J10" s="12"/>
      <c r="K10" s="13"/>
      <c r="L10" s="13"/>
      <c r="M10" s="13"/>
      <c r="N10" s="13"/>
      <c r="O10" s="13"/>
      <c r="P10" s="13"/>
      <c r="Q10" s="13"/>
      <c r="R10" s="14"/>
      <c r="S10" s="22"/>
      <c r="T10" s="35"/>
      <c r="U10" s="12"/>
      <c r="V10" s="13"/>
      <c r="W10" s="13"/>
      <c r="X10" s="13"/>
      <c r="Y10" s="13"/>
      <c r="Z10" s="13"/>
      <c r="AA10" s="14"/>
      <c r="AB10" s="22"/>
      <c r="AC10" s="12"/>
      <c r="AD10" s="13"/>
      <c r="AE10" s="13"/>
      <c r="AF10" s="13"/>
      <c r="AG10" s="13"/>
      <c r="AH10" s="13"/>
      <c r="AI10" s="13"/>
      <c r="AJ10" s="13"/>
      <c r="AK10" s="14"/>
      <c r="AL10" s="22"/>
      <c r="AM10" s="38"/>
      <c r="AN10" s="12"/>
      <c r="AO10" s="13"/>
      <c r="AP10" s="13"/>
      <c r="AQ10" s="13"/>
      <c r="AR10" s="13"/>
      <c r="AS10" s="13"/>
      <c r="AT10" s="14"/>
      <c r="AU10" s="22"/>
      <c r="AV10" s="12"/>
      <c r="AW10" s="13"/>
      <c r="AX10" s="13"/>
      <c r="AY10" s="13"/>
      <c r="AZ10" s="13"/>
      <c r="BA10" s="13"/>
      <c r="BB10" s="13"/>
      <c r="BC10" s="13"/>
      <c r="BD10" s="14"/>
      <c r="BE10" s="22"/>
    </row>
    <row r="11" spans="1:57" ht="15" customHeight="1" x14ac:dyDescent="0.25">
      <c r="A11" s="38"/>
      <c r="B11" s="12"/>
      <c r="C11" s="13"/>
      <c r="D11" s="13"/>
      <c r="E11" s="13"/>
      <c r="F11" s="13"/>
      <c r="G11" s="13"/>
      <c r="H11" s="14"/>
      <c r="I11" s="22"/>
      <c r="J11" s="12"/>
      <c r="K11" s="13"/>
      <c r="L11" s="13"/>
      <c r="M11" s="13"/>
      <c r="N11" s="13"/>
      <c r="O11" s="13"/>
      <c r="P11" s="13"/>
      <c r="Q11" s="13"/>
      <c r="R11" s="14"/>
      <c r="S11" s="22"/>
      <c r="T11" s="35"/>
      <c r="U11" s="12"/>
      <c r="V11" s="13"/>
      <c r="W11" s="13"/>
      <c r="X11" s="13"/>
      <c r="Y11" s="13"/>
      <c r="Z11" s="13"/>
      <c r="AA11" s="14"/>
      <c r="AB11" s="22"/>
      <c r="AC11" s="12"/>
      <c r="AD11" s="13"/>
      <c r="AE11" s="13"/>
      <c r="AF11" s="13"/>
      <c r="AG11" s="13"/>
      <c r="AH11" s="13"/>
      <c r="AI11" s="13"/>
      <c r="AJ11" s="13"/>
      <c r="AK11" s="14"/>
      <c r="AL11" s="22"/>
      <c r="AM11" s="38"/>
      <c r="AN11" s="12"/>
      <c r="AO11" s="13"/>
      <c r="AP11" s="13"/>
      <c r="AQ11" s="13"/>
      <c r="AR11" s="13"/>
      <c r="AS11" s="13"/>
      <c r="AT11" s="14"/>
      <c r="AU11" s="22"/>
      <c r="AV11" s="12"/>
      <c r="AW11" s="13"/>
      <c r="AX11" s="13"/>
      <c r="AY11" s="13"/>
      <c r="AZ11" s="13"/>
      <c r="BA11" s="13"/>
      <c r="BB11" s="13"/>
      <c r="BC11" s="13"/>
      <c r="BD11" s="14"/>
      <c r="BE11" s="22"/>
    </row>
    <row r="12" spans="1:57" ht="15" customHeight="1" x14ac:dyDescent="0.25">
      <c r="A12" s="38"/>
      <c r="B12" s="12"/>
      <c r="C12" s="13"/>
      <c r="D12" s="13"/>
      <c r="E12" s="13"/>
      <c r="F12" s="13"/>
      <c r="G12" s="13"/>
      <c r="H12" s="14"/>
      <c r="I12" s="22"/>
      <c r="J12" s="12"/>
      <c r="K12" s="13"/>
      <c r="L12" s="13"/>
      <c r="M12" s="13"/>
      <c r="N12" s="13"/>
      <c r="O12" s="13"/>
      <c r="P12" s="13"/>
      <c r="Q12" s="13"/>
      <c r="R12" s="14"/>
      <c r="S12" s="22"/>
      <c r="T12" s="35"/>
      <c r="U12" s="12"/>
      <c r="V12" s="13"/>
      <c r="W12" s="13"/>
      <c r="X12" s="13"/>
      <c r="Y12" s="13"/>
      <c r="Z12" s="13"/>
      <c r="AA12" s="14"/>
      <c r="AB12" s="22"/>
      <c r="AC12" s="12"/>
      <c r="AD12" s="13"/>
      <c r="AE12" s="13"/>
      <c r="AF12" s="13"/>
      <c r="AG12" s="13"/>
      <c r="AH12" s="13"/>
      <c r="AI12" s="13"/>
      <c r="AJ12" s="13"/>
      <c r="AK12" s="14"/>
      <c r="AL12" s="22"/>
      <c r="AM12" s="38"/>
      <c r="AN12" s="12"/>
      <c r="AO12" s="13"/>
      <c r="AP12" s="13"/>
      <c r="AQ12" s="13"/>
      <c r="AR12" s="13"/>
      <c r="AS12" s="13"/>
      <c r="AT12" s="14"/>
      <c r="AU12" s="22"/>
      <c r="AV12" s="12"/>
      <c r="AW12" s="13"/>
      <c r="AX12" s="13"/>
      <c r="AY12" s="13"/>
      <c r="AZ12" s="13"/>
      <c r="BA12" s="13"/>
      <c r="BB12" s="13"/>
      <c r="BC12" s="13"/>
      <c r="BD12" s="14"/>
      <c r="BE12" s="22"/>
    </row>
    <row r="13" spans="1:57" ht="15.75" customHeight="1" thickBot="1" x14ac:dyDescent="0.3">
      <c r="A13" s="38"/>
      <c r="B13" s="12"/>
      <c r="C13" s="13"/>
      <c r="D13" s="13"/>
      <c r="E13" s="13"/>
      <c r="F13" s="13"/>
      <c r="G13" s="13"/>
      <c r="H13" s="14"/>
      <c r="I13" s="23"/>
      <c r="J13" s="12"/>
      <c r="K13" s="13"/>
      <c r="L13" s="13"/>
      <c r="M13" s="13"/>
      <c r="N13" s="13"/>
      <c r="O13" s="13"/>
      <c r="P13" s="13"/>
      <c r="Q13" s="13"/>
      <c r="R13" s="14"/>
      <c r="S13" s="23"/>
      <c r="T13" s="35"/>
      <c r="U13" s="12"/>
      <c r="V13" s="13"/>
      <c r="W13" s="13"/>
      <c r="X13" s="13"/>
      <c r="Y13" s="13"/>
      <c r="Z13" s="13"/>
      <c r="AA13" s="14"/>
      <c r="AB13" s="23"/>
      <c r="AC13" s="12"/>
      <c r="AD13" s="13"/>
      <c r="AE13" s="13"/>
      <c r="AF13" s="13"/>
      <c r="AG13" s="13"/>
      <c r="AH13" s="13"/>
      <c r="AI13" s="13"/>
      <c r="AJ13" s="13"/>
      <c r="AK13" s="14"/>
      <c r="AL13" s="23"/>
      <c r="AM13" s="38"/>
      <c r="AN13" s="12"/>
      <c r="AO13" s="13"/>
      <c r="AP13" s="13"/>
      <c r="AQ13" s="13"/>
      <c r="AR13" s="13"/>
      <c r="AS13" s="13"/>
      <c r="AT13" s="14"/>
      <c r="AU13" s="23"/>
      <c r="AV13" s="12"/>
      <c r="AW13" s="13"/>
      <c r="AX13" s="13"/>
      <c r="AY13" s="13"/>
      <c r="AZ13" s="13"/>
      <c r="BA13" s="13"/>
      <c r="BB13" s="13"/>
      <c r="BC13" s="13"/>
      <c r="BD13" s="14"/>
      <c r="BE13" s="23"/>
    </row>
    <row r="14" spans="1:57" x14ac:dyDescent="0.25">
      <c r="A14" s="38"/>
      <c r="B14" s="12"/>
      <c r="C14" s="13"/>
      <c r="D14" s="13"/>
      <c r="E14" s="13"/>
      <c r="F14" s="13"/>
      <c r="G14" s="13"/>
      <c r="H14" s="14"/>
      <c r="I14" s="18" t="s">
        <v>48</v>
      </c>
      <c r="J14" s="12"/>
      <c r="K14" s="13"/>
      <c r="L14" s="13"/>
      <c r="M14" s="13"/>
      <c r="N14" s="13"/>
      <c r="O14" s="13"/>
      <c r="P14" s="13"/>
      <c r="Q14" s="13"/>
      <c r="R14" s="14"/>
      <c r="S14" s="18" t="s">
        <v>51</v>
      </c>
      <c r="T14" s="35"/>
      <c r="U14" s="12"/>
      <c r="V14" s="13"/>
      <c r="W14" s="13"/>
      <c r="X14" s="13"/>
      <c r="Y14" s="13"/>
      <c r="Z14" s="13"/>
      <c r="AA14" s="14"/>
      <c r="AB14" s="18" t="s">
        <v>48</v>
      </c>
      <c r="AC14" s="12"/>
      <c r="AD14" s="13"/>
      <c r="AE14" s="13"/>
      <c r="AF14" s="13"/>
      <c r="AG14" s="13"/>
      <c r="AH14" s="13"/>
      <c r="AI14" s="13"/>
      <c r="AJ14" s="13"/>
      <c r="AK14" s="14"/>
      <c r="AL14" s="18" t="s">
        <v>51</v>
      </c>
      <c r="AM14" s="38"/>
      <c r="AN14" s="12"/>
      <c r="AO14" s="13"/>
      <c r="AP14" s="13"/>
      <c r="AQ14" s="13"/>
      <c r="AR14" s="13"/>
      <c r="AS14" s="13"/>
      <c r="AT14" s="14"/>
      <c r="AU14" s="18" t="s">
        <v>48</v>
      </c>
      <c r="AV14" s="12"/>
      <c r="AW14" s="13"/>
      <c r="AX14" s="13"/>
      <c r="AY14" s="13"/>
      <c r="AZ14" s="13"/>
      <c r="BA14" s="13"/>
      <c r="BB14" s="13"/>
      <c r="BC14" s="13"/>
      <c r="BD14" s="14"/>
      <c r="BE14" s="18" t="s">
        <v>51</v>
      </c>
    </row>
    <row r="15" spans="1:57" x14ac:dyDescent="0.25">
      <c r="A15" s="38"/>
      <c r="B15" s="12"/>
      <c r="C15" s="13"/>
      <c r="D15" s="13"/>
      <c r="E15" s="13"/>
      <c r="F15" s="13"/>
      <c r="G15" s="13"/>
      <c r="H15" s="14"/>
      <c r="I15" s="26">
        <f>I3/I9</f>
        <v>101.53571428571429</v>
      </c>
      <c r="J15" s="12"/>
      <c r="K15" s="13"/>
      <c r="L15" s="13"/>
      <c r="M15" s="13"/>
      <c r="N15" s="13"/>
      <c r="O15" s="13"/>
      <c r="P15" s="13"/>
      <c r="Q15" s="13"/>
      <c r="R15" s="14"/>
      <c r="S15" s="22">
        <f>COUNTIF(situacaochegada2,"Em aberto*")</f>
        <v>9</v>
      </c>
      <c r="T15" s="35"/>
      <c r="U15" s="12"/>
      <c r="V15" s="13"/>
      <c r="W15" s="13"/>
      <c r="X15" s="13"/>
      <c r="Y15" s="13"/>
      <c r="Z15" s="13"/>
      <c r="AA15" s="14"/>
      <c r="AB15" s="26">
        <f>AB3/AB9</f>
        <v>101.53571428571429</v>
      </c>
      <c r="AC15" s="12"/>
      <c r="AD15" s="13"/>
      <c r="AE15" s="13"/>
      <c r="AF15" s="13"/>
      <c r="AG15" s="13"/>
      <c r="AH15" s="13"/>
      <c r="AI15" s="13"/>
      <c r="AJ15" s="13"/>
      <c r="AK15" s="14"/>
      <c r="AL15" s="22">
        <f>COUNTIF(situacaochegada2,"Em aberto*")</f>
        <v>9</v>
      </c>
      <c r="AM15" s="38"/>
      <c r="AN15" s="12"/>
      <c r="AO15" s="13"/>
      <c r="AP15" s="13"/>
      <c r="AQ15" s="13"/>
      <c r="AR15" s="13"/>
      <c r="AS15" s="13"/>
      <c r="AT15" s="14"/>
      <c r="AU15" s="26">
        <f>AU3/AU9</f>
        <v>101.53571428571429</v>
      </c>
      <c r="AV15" s="12"/>
      <c r="AW15" s="13"/>
      <c r="AX15" s="13"/>
      <c r="AY15" s="13"/>
      <c r="AZ15" s="13"/>
      <c r="BA15" s="13"/>
      <c r="BB15" s="13"/>
      <c r="BC15" s="13"/>
      <c r="BD15" s="14"/>
      <c r="BE15" s="22">
        <f>COUNTIF(situacaochegada2,"Em aberto*")</f>
        <v>9</v>
      </c>
    </row>
    <row r="16" spans="1:57" x14ac:dyDescent="0.25">
      <c r="A16" s="38"/>
      <c r="B16" s="12"/>
      <c r="C16" s="13"/>
      <c r="D16" s="13"/>
      <c r="E16" s="13"/>
      <c r="F16" s="13"/>
      <c r="G16" s="13"/>
      <c r="H16" s="14"/>
      <c r="I16" s="26"/>
      <c r="J16" s="12"/>
      <c r="K16" s="13"/>
      <c r="L16" s="13"/>
      <c r="M16" s="13"/>
      <c r="N16" s="13"/>
      <c r="O16" s="13"/>
      <c r="P16" s="13"/>
      <c r="Q16" s="13"/>
      <c r="R16" s="14"/>
      <c r="S16" s="22"/>
      <c r="T16" s="35"/>
      <c r="U16" s="12"/>
      <c r="V16" s="13"/>
      <c r="W16" s="13"/>
      <c r="X16" s="13"/>
      <c r="Y16" s="13"/>
      <c r="Z16" s="13"/>
      <c r="AA16" s="14"/>
      <c r="AB16" s="26"/>
      <c r="AC16" s="12"/>
      <c r="AD16" s="13"/>
      <c r="AE16" s="13"/>
      <c r="AF16" s="13"/>
      <c r="AG16" s="13"/>
      <c r="AH16" s="13"/>
      <c r="AI16" s="13"/>
      <c r="AJ16" s="13"/>
      <c r="AK16" s="14"/>
      <c r="AL16" s="22"/>
      <c r="AM16" s="38"/>
      <c r="AN16" s="12"/>
      <c r="AO16" s="13"/>
      <c r="AP16" s="13"/>
      <c r="AQ16" s="13"/>
      <c r="AR16" s="13"/>
      <c r="AS16" s="13"/>
      <c r="AT16" s="14"/>
      <c r="AU16" s="26"/>
      <c r="AV16" s="12"/>
      <c r="AW16" s="13"/>
      <c r="AX16" s="13"/>
      <c r="AY16" s="13"/>
      <c r="AZ16" s="13"/>
      <c r="BA16" s="13"/>
      <c r="BB16" s="13"/>
      <c r="BC16" s="13"/>
      <c r="BD16" s="14"/>
      <c r="BE16" s="22"/>
    </row>
    <row r="17" spans="1:57" x14ac:dyDescent="0.25">
      <c r="A17" s="38"/>
      <c r="B17" s="12"/>
      <c r="C17" s="13"/>
      <c r="D17" s="13"/>
      <c r="E17" s="13"/>
      <c r="F17" s="13"/>
      <c r="G17" s="13"/>
      <c r="H17" s="14"/>
      <c r="I17" s="26"/>
      <c r="J17" s="12"/>
      <c r="K17" s="13"/>
      <c r="L17" s="13"/>
      <c r="M17" s="13"/>
      <c r="N17" s="13"/>
      <c r="O17" s="13"/>
      <c r="P17" s="13"/>
      <c r="Q17" s="13"/>
      <c r="R17" s="14"/>
      <c r="S17" s="22"/>
      <c r="T17" s="35"/>
      <c r="U17" s="12"/>
      <c r="V17" s="13"/>
      <c r="W17" s="13"/>
      <c r="X17" s="13"/>
      <c r="Y17" s="13"/>
      <c r="Z17" s="13"/>
      <c r="AA17" s="14"/>
      <c r="AB17" s="26"/>
      <c r="AC17" s="12"/>
      <c r="AD17" s="13"/>
      <c r="AE17" s="13"/>
      <c r="AF17" s="13"/>
      <c r="AG17" s="13"/>
      <c r="AH17" s="13"/>
      <c r="AI17" s="13"/>
      <c r="AJ17" s="13"/>
      <c r="AK17" s="14"/>
      <c r="AL17" s="22"/>
      <c r="AM17" s="38"/>
      <c r="AN17" s="12"/>
      <c r="AO17" s="13"/>
      <c r="AP17" s="13"/>
      <c r="AQ17" s="13"/>
      <c r="AR17" s="13"/>
      <c r="AS17" s="13"/>
      <c r="AT17" s="14"/>
      <c r="AU17" s="26"/>
      <c r="AV17" s="12"/>
      <c r="AW17" s="13"/>
      <c r="AX17" s="13"/>
      <c r="AY17" s="13"/>
      <c r="AZ17" s="13"/>
      <c r="BA17" s="13"/>
      <c r="BB17" s="13"/>
      <c r="BC17" s="13"/>
      <c r="BD17" s="14"/>
      <c r="BE17" s="22"/>
    </row>
    <row r="18" spans="1:57" x14ac:dyDescent="0.25">
      <c r="A18" s="38"/>
      <c r="B18" s="12"/>
      <c r="C18" s="13"/>
      <c r="D18" s="13"/>
      <c r="E18" s="13"/>
      <c r="F18" s="13"/>
      <c r="G18" s="13"/>
      <c r="H18" s="14"/>
      <c r="I18" s="26"/>
      <c r="J18" s="12"/>
      <c r="K18" s="13"/>
      <c r="L18" s="13"/>
      <c r="M18" s="13"/>
      <c r="N18" s="13"/>
      <c r="O18" s="13"/>
      <c r="P18" s="13"/>
      <c r="Q18" s="13"/>
      <c r="R18" s="14"/>
      <c r="S18" s="22"/>
      <c r="T18" s="35"/>
      <c r="U18" s="12"/>
      <c r="V18" s="13"/>
      <c r="W18" s="13"/>
      <c r="X18" s="13"/>
      <c r="Y18" s="13"/>
      <c r="Z18" s="13"/>
      <c r="AA18" s="14"/>
      <c r="AB18" s="26"/>
      <c r="AC18" s="12"/>
      <c r="AD18" s="13"/>
      <c r="AE18" s="13"/>
      <c r="AF18" s="13"/>
      <c r="AG18" s="13"/>
      <c r="AH18" s="13"/>
      <c r="AI18" s="13"/>
      <c r="AJ18" s="13"/>
      <c r="AK18" s="14"/>
      <c r="AL18" s="22"/>
      <c r="AM18" s="38"/>
      <c r="AN18" s="12"/>
      <c r="AO18" s="13"/>
      <c r="AP18" s="13"/>
      <c r="AQ18" s="13"/>
      <c r="AR18" s="13"/>
      <c r="AS18" s="13"/>
      <c r="AT18" s="14"/>
      <c r="AU18" s="26"/>
      <c r="AV18" s="12"/>
      <c r="AW18" s="13"/>
      <c r="AX18" s="13"/>
      <c r="AY18" s="13"/>
      <c r="AZ18" s="13"/>
      <c r="BA18" s="13"/>
      <c r="BB18" s="13"/>
      <c r="BC18" s="13"/>
      <c r="BD18" s="14"/>
      <c r="BE18" s="22"/>
    </row>
    <row r="19" spans="1:57" ht="15.75" thickBot="1" x14ac:dyDescent="0.3">
      <c r="A19" s="39"/>
      <c r="B19" s="15"/>
      <c r="C19" s="16"/>
      <c r="D19" s="16"/>
      <c r="E19" s="16"/>
      <c r="F19" s="16"/>
      <c r="G19" s="16"/>
      <c r="H19" s="17"/>
      <c r="I19" s="27"/>
      <c r="J19" s="15"/>
      <c r="K19" s="16"/>
      <c r="L19" s="16"/>
      <c r="M19" s="16"/>
      <c r="N19" s="16"/>
      <c r="O19" s="16"/>
      <c r="P19" s="16"/>
      <c r="Q19" s="16"/>
      <c r="R19" s="17"/>
      <c r="S19" s="23"/>
      <c r="T19" s="36"/>
      <c r="U19" s="15"/>
      <c r="V19" s="16"/>
      <c r="W19" s="16"/>
      <c r="X19" s="16"/>
      <c r="Y19" s="16"/>
      <c r="Z19" s="16"/>
      <c r="AA19" s="17"/>
      <c r="AB19" s="27"/>
      <c r="AC19" s="15"/>
      <c r="AD19" s="16"/>
      <c r="AE19" s="16"/>
      <c r="AF19" s="16"/>
      <c r="AG19" s="16"/>
      <c r="AH19" s="16"/>
      <c r="AI19" s="16"/>
      <c r="AJ19" s="16"/>
      <c r="AK19" s="17"/>
      <c r="AL19" s="23"/>
      <c r="AM19" s="39"/>
      <c r="AN19" s="15"/>
      <c r="AO19" s="16"/>
      <c r="AP19" s="16"/>
      <c r="AQ19" s="16"/>
      <c r="AR19" s="16"/>
      <c r="AS19" s="16"/>
      <c r="AT19" s="17"/>
      <c r="AU19" s="27"/>
      <c r="AV19" s="15"/>
      <c r="AW19" s="16"/>
      <c r="AX19" s="16"/>
      <c r="AY19" s="16"/>
      <c r="AZ19" s="16"/>
      <c r="BA19" s="16"/>
      <c r="BB19" s="16"/>
      <c r="BC19" s="16"/>
      <c r="BD19" s="17"/>
      <c r="BE19" s="23"/>
    </row>
  </sheetData>
  <mergeCells count="24">
    <mergeCell ref="A1:A19"/>
    <mergeCell ref="T1:T19"/>
    <mergeCell ref="U1:AL1"/>
    <mergeCell ref="AB3:AB7"/>
    <mergeCell ref="AL3:AL7"/>
    <mergeCell ref="AB9:AB13"/>
    <mergeCell ref="AL9:AL13"/>
    <mergeCell ref="AB15:AB19"/>
    <mergeCell ref="AL15:AL19"/>
    <mergeCell ref="B1:S1"/>
    <mergeCell ref="I9:I13"/>
    <mergeCell ref="I3:I7"/>
    <mergeCell ref="I15:I19"/>
    <mergeCell ref="S3:S7"/>
    <mergeCell ref="S9:S13"/>
    <mergeCell ref="S15:S19"/>
    <mergeCell ref="AM1:AM19"/>
    <mergeCell ref="AN1:BE1"/>
    <mergeCell ref="AU3:AU7"/>
    <mergeCell ref="BE3:BE7"/>
    <mergeCell ref="AU9:AU13"/>
    <mergeCell ref="BE9:BE13"/>
    <mergeCell ref="AU15:AU19"/>
    <mergeCell ref="BE15:BE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PainelLogistica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504825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PainelVeiculos">
                <anchor moveWithCells="1" sizeWithCells="1">
                  <from>
                    <xdr:col>19</xdr:col>
                    <xdr:colOff>57150</xdr:colOff>
                    <xdr:row>0</xdr:row>
                    <xdr:rowOff>57150</xdr:rowOff>
                  </from>
                  <to>
                    <xdr:col>19</xdr:col>
                    <xdr:colOff>542925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PainelCarga">
                <anchor moveWithCells="1" sizeWithCells="1">
                  <from>
                    <xdr:col>38</xdr:col>
                    <xdr:colOff>57150</xdr:colOff>
                    <xdr:row>0</xdr:row>
                    <xdr:rowOff>47625</xdr:rowOff>
                  </from>
                  <to>
                    <xdr:col>38</xdr:col>
                    <xdr:colOff>542925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83EDE-392B-4FC6-9D23-257935FA48E6}">
  <sheetPr codeName="Planilha4"/>
  <dimension ref="A3:B7"/>
  <sheetViews>
    <sheetView workbookViewId="0">
      <selection activeCell="A3" sqref="A3"/>
    </sheetView>
  </sheetViews>
  <sheetFormatPr defaultRowHeight="15" x14ac:dyDescent="0.25"/>
  <cols>
    <col min="1" max="1" width="18" bestFit="1" customWidth="1"/>
    <col min="2" max="2" width="25" bestFit="1" customWidth="1"/>
  </cols>
  <sheetData>
    <row r="3" spans="1:2" x14ac:dyDescent="0.25">
      <c r="A3" s="6" t="s">
        <v>40</v>
      </c>
      <c r="B3" t="s">
        <v>42</v>
      </c>
    </row>
    <row r="4" spans="1:2" x14ac:dyDescent="0.25">
      <c r="A4" s="7" t="s">
        <v>36</v>
      </c>
      <c r="B4" s="33">
        <v>1632.5581395348838</v>
      </c>
    </row>
    <row r="5" spans="1:2" x14ac:dyDescent="0.25">
      <c r="A5" s="7" t="s">
        <v>22</v>
      </c>
      <c r="B5" s="33">
        <v>3129.1500874635567</v>
      </c>
    </row>
    <row r="6" spans="1:2" x14ac:dyDescent="0.25">
      <c r="A6" s="7" t="s">
        <v>55</v>
      </c>
      <c r="B6" s="33"/>
    </row>
    <row r="7" spans="1:2" x14ac:dyDescent="0.25">
      <c r="A7" s="7" t="s">
        <v>41</v>
      </c>
      <c r="B7" s="33">
        <v>4761.7082269984403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6AC76-BF77-4B49-BE25-9EB92C261F18}">
  <sheetPr codeName="Planilha5"/>
  <dimension ref="A1:M33"/>
  <sheetViews>
    <sheetView workbookViewId="0">
      <selection activeCell="D8" sqref="D8"/>
    </sheetView>
  </sheetViews>
  <sheetFormatPr defaultRowHeight="15" x14ac:dyDescent="0.25"/>
  <cols>
    <col min="1" max="13" width="16.140625" customWidth="1"/>
  </cols>
  <sheetData>
    <row r="1" spans="1:13" s="1" customFormat="1" x14ac:dyDescent="0.25">
      <c r="A1" s="28" t="s">
        <v>0</v>
      </c>
      <c r="B1" s="29" t="s">
        <v>2</v>
      </c>
      <c r="C1" s="29" t="s">
        <v>3</v>
      </c>
      <c r="D1" s="30" t="s">
        <v>13</v>
      </c>
      <c r="E1" s="29" t="s">
        <v>1</v>
      </c>
      <c r="F1" s="29" t="s">
        <v>21</v>
      </c>
      <c r="G1" s="29" t="s">
        <v>6</v>
      </c>
      <c r="H1" s="29" t="s">
        <v>7</v>
      </c>
      <c r="I1" s="29" t="s">
        <v>8</v>
      </c>
      <c r="J1" s="29" t="s">
        <v>12</v>
      </c>
      <c r="K1" s="29" t="s">
        <v>9</v>
      </c>
      <c r="L1" s="29" t="s">
        <v>10</v>
      </c>
      <c r="M1" s="31" t="s">
        <v>11</v>
      </c>
    </row>
    <row r="2" spans="1:13" ht="15.75" thickBot="1" x14ac:dyDescent="0.3">
      <c r="A2" s="15"/>
      <c r="B2" s="16"/>
      <c r="C2" s="16" t="s">
        <v>56</v>
      </c>
      <c r="D2" s="16"/>
      <c r="E2" s="16"/>
      <c r="F2" s="16"/>
      <c r="G2" s="16"/>
      <c r="H2" s="16"/>
      <c r="I2" s="16"/>
      <c r="J2" s="16"/>
      <c r="K2" s="16"/>
      <c r="L2" s="16"/>
      <c r="M2" s="17"/>
    </row>
    <row r="3" spans="1:13" ht="30.75" customHeight="1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15</v>
      </c>
      <c r="B8" s="5">
        <v>43800</v>
      </c>
      <c r="C8" t="s">
        <v>19</v>
      </c>
      <c r="D8" s="3">
        <v>120</v>
      </c>
      <c r="E8" t="s">
        <v>34</v>
      </c>
      <c r="F8" s="4">
        <v>3</v>
      </c>
      <c r="G8" t="s">
        <v>22</v>
      </c>
      <c r="H8" s="4" t="s">
        <v>37</v>
      </c>
      <c r="I8" s="5">
        <v>43804</v>
      </c>
      <c r="J8" s="4" t="s">
        <v>26</v>
      </c>
      <c r="K8" s="4" t="s">
        <v>27</v>
      </c>
      <c r="L8" s="5">
        <v>43811</v>
      </c>
      <c r="M8" s="4" t="s">
        <v>26</v>
      </c>
    </row>
    <row r="9" spans="1:13" x14ac:dyDescent="0.25">
      <c r="A9" t="s">
        <v>15</v>
      </c>
      <c r="B9" s="5">
        <v>43833</v>
      </c>
      <c r="C9" t="s">
        <v>19</v>
      </c>
      <c r="D9" s="3">
        <v>480</v>
      </c>
      <c r="E9" t="s">
        <v>32</v>
      </c>
      <c r="F9" s="4">
        <v>12</v>
      </c>
      <c r="G9" t="s">
        <v>22</v>
      </c>
      <c r="H9" s="4" t="s">
        <v>37</v>
      </c>
      <c r="I9" s="5">
        <v>43845</v>
      </c>
      <c r="J9" s="4" t="s">
        <v>26</v>
      </c>
      <c r="K9" s="4" t="s">
        <v>27</v>
      </c>
      <c r="L9" s="5">
        <v>43486</v>
      </c>
      <c r="M9" s="4" t="s">
        <v>26</v>
      </c>
    </row>
    <row r="10" spans="1:13" x14ac:dyDescent="0.25">
      <c r="A10" t="s">
        <v>15</v>
      </c>
      <c r="B10" s="5">
        <v>43845</v>
      </c>
      <c r="C10" t="s">
        <v>19</v>
      </c>
      <c r="D10" s="3">
        <v>80</v>
      </c>
      <c r="E10" t="s">
        <v>34</v>
      </c>
      <c r="F10" s="4">
        <v>2</v>
      </c>
      <c r="G10" t="s">
        <v>22</v>
      </c>
      <c r="H10" s="4" t="s">
        <v>37</v>
      </c>
      <c r="I10" s="5">
        <v>43845</v>
      </c>
      <c r="J10" s="4" t="s">
        <v>26</v>
      </c>
      <c r="K10" s="4" t="s">
        <v>27</v>
      </c>
      <c r="L10" s="5">
        <v>43486</v>
      </c>
      <c r="M10" s="4" t="s">
        <v>26</v>
      </c>
    </row>
    <row r="11" spans="1:13" x14ac:dyDescent="0.25">
      <c r="A11" t="s">
        <v>16</v>
      </c>
      <c r="B11" s="5">
        <v>43819</v>
      </c>
      <c r="C11" t="s">
        <v>19</v>
      </c>
      <c r="D11" s="3">
        <v>1632.5581395348838</v>
      </c>
      <c r="E11" t="s">
        <v>35</v>
      </c>
      <c r="F11" s="4">
        <v>390</v>
      </c>
      <c r="G11" t="s">
        <v>36</v>
      </c>
      <c r="H11" s="4" t="s">
        <v>27</v>
      </c>
      <c r="I11" s="5">
        <v>43821</v>
      </c>
      <c r="J11" s="4" t="s">
        <v>26</v>
      </c>
      <c r="K11" s="4" t="s">
        <v>27</v>
      </c>
      <c r="L11" s="5">
        <v>43821</v>
      </c>
      <c r="M11" s="4" t="s">
        <v>26</v>
      </c>
    </row>
    <row r="12" spans="1:13" x14ac:dyDescent="0.25">
      <c r="A12" t="s">
        <v>17</v>
      </c>
      <c r="B12" s="5">
        <v>43806</v>
      </c>
      <c r="C12" t="s">
        <v>19</v>
      </c>
      <c r="D12" s="3">
        <v>614.77714285714285</v>
      </c>
      <c r="E12" t="s">
        <v>39</v>
      </c>
      <c r="F12" s="4">
        <v>18</v>
      </c>
      <c r="G12" t="s">
        <v>22</v>
      </c>
      <c r="H12" s="4" t="s">
        <v>27</v>
      </c>
      <c r="I12" s="5">
        <v>43808</v>
      </c>
      <c r="J12" s="4" t="s">
        <v>26</v>
      </c>
      <c r="K12" s="4" t="s">
        <v>27</v>
      </c>
      <c r="L12" s="5">
        <v>43808</v>
      </c>
      <c r="M12" s="4" t="s">
        <v>26</v>
      </c>
    </row>
    <row r="13" spans="1:13" x14ac:dyDescent="0.25">
      <c r="A13" t="s">
        <v>17</v>
      </c>
      <c r="B13" s="5">
        <v>43840</v>
      </c>
      <c r="C13" t="s">
        <v>19</v>
      </c>
      <c r="D13" s="3">
        <v>174.56268221574345</v>
      </c>
      <c r="E13" t="s">
        <v>39</v>
      </c>
      <c r="F13" s="4">
        <v>25</v>
      </c>
      <c r="G13" t="s">
        <v>22</v>
      </c>
      <c r="H13" s="4" t="s">
        <v>27</v>
      </c>
      <c r="I13" s="5">
        <v>43842</v>
      </c>
      <c r="J13" s="4" t="s">
        <v>26</v>
      </c>
      <c r="K13" s="4" t="s">
        <v>27</v>
      </c>
      <c r="L13" s="5">
        <v>43842</v>
      </c>
      <c r="M13" s="4" t="s">
        <v>26</v>
      </c>
    </row>
    <row r="14" spans="1:13" x14ac:dyDescent="0.25">
      <c r="A14" t="s">
        <v>17</v>
      </c>
      <c r="B14" s="5">
        <v>43852</v>
      </c>
      <c r="C14" t="s">
        <v>19</v>
      </c>
      <c r="D14" s="3">
        <v>251.37026239067058</v>
      </c>
      <c r="E14" t="s">
        <v>39</v>
      </c>
      <c r="F14" s="4">
        <v>36</v>
      </c>
      <c r="G14" t="s">
        <v>22</v>
      </c>
      <c r="H14" s="4" t="s">
        <v>27</v>
      </c>
      <c r="I14" s="5">
        <v>43854</v>
      </c>
      <c r="J14" s="4" t="s">
        <v>26</v>
      </c>
      <c r="K14" s="4" t="s">
        <v>27</v>
      </c>
      <c r="L14" s="5">
        <v>43854</v>
      </c>
      <c r="M14" s="4" t="s">
        <v>26</v>
      </c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ltroAvancado">
                <anchor moveWithCells="1" sizeWithCells="1">
                  <from>
                    <xdr:col>0</xdr:col>
                    <xdr:colOff>95250</xdr:colOff>
                    <xdr:row>2</xdr:row>
                    <xdr:rowOff>57150</xdr:rowOff>
                  </from>
                  <to>
                    <xdr:col>1</xdr:col>
                    <xdr:colOff>400050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filtrarSelecionarDashboard">
                <anchor moveWithCells="1" sizeWithCells="1">
                  <from>
                    <xdr:col>1</xdr:col>
                    <xdr:colOff>714375</xdr:colOff>
                    <xdr:row>2</xdr:row>
                    <xdr:rowOff>57150</xdr:rowOff>
                  </from>
                  <to>
                    <xdr:col>3</xdr:col>
                    <xdr:colOff>114300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7</vt:i4>
      </vt:variant>
    </vt:vector>
  </HeadingPairs>
  <TitlesOfParts>
    <vt:vector size="12" baseType="lpstr">
      <vt:lpstr>Controle de Entregas</vt:lpstr>
      <vt:lpstr>Valor dos Contrato</vt:lpstr>
      <vt:lpstr>DASHBOARD</vt:lpstr>
      <vt:lpstr>Valor Por Veículo</vt:lpstr>
      <vt:lpstr>Base Filtrada</vt:lpstr>
      <vt:lpstr>'Base Filtrada'!Area_de_extracao</vt:lpstr>
      <vt:lpstr>'Base Filtrada'!Criterios</vt:lpstr>
      <vt:lpstr>dadosTabelaDinamica</vt:lpstr>
      <vt:lpstr>SituacaoChegada</vt:lpstr>
      <vt:lpstr>situacaochegada2</vt:lpstr>
      <vt:lpstr>SituacaoPartida</vt:lpstr>
      <vt:lpstr>tabelaEntrega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Jonathas Farias De Crvalho</cp:lastModifiedBy>
  <dcterms:created xsi:type="dcterms:W3CDTF">2020-01-28T18:38:11Z</dcterms:created>
  <dcterms:modified xsi:type="dcterms:W3CDTF">2022-09-11T13:33:23Z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